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Q\Downloads\"/>
    </mc:Choice>
  </mc:AlternateContent>
  <xr:revisionPtr revIDLastSave="0" documentId="8_{49C8D1EA-F4A6-4F20-AA5E-7B4175683840}" xr6:coauthVersionLast="47" xr6:coauthVersionMax="47" xr10:uidLastSave="{00000000-0000-0000-0000-000000000000}"/>
  <bookViews>
    <workbookView xWindow="-108" yWindow="-108" windowWidth="23256" windowHeight="13176" xr2:uid="{7BB30E0E-94F3-45C4-B1D1-8997202C276A}"/>
  </bookViews>
  <sheets>
    <sheet name="Dashboard" sheetId="3" r:id="rId1"/>
    <sheet name="Anamoly detection " sheetId="2" r:id="rId2"/>
  </sheets>
  <definedNames>
    <definedName name="agegroup">'Anamoly detection '!$A$25</definedName>
    <definedName name="count">'Anamoly detection '!$A$10</definedName>
    <definedName name="diam">'Anamoly detection '!$A$39</definedName>
    <definedName name="females">'Anamoly detection '!$A$36</definedName>
    <definedName name="most">'Anamoly detection '!$A$33</definedName>
    <definedName name="region">'Anamoly detection '!$A$29</definedName>
    <definedName name="story">'Anamoly detection '!$A$8</definedName>
  </definedNames>
  <calcPr calcId="0"/>
</workbook>
</file>

<file path=xl/calcChain.xml><?xml version="1.0" encoding="utf-8"?>
<calcChain xmlns="http://schemas.openxmlformats.org/spreadsheetml/2006/main">
  <c r="A39" i="2" l="1"/>
  <c r="A36" i="2"/>
  <c r="A33" i="2"/>
  <c r="A29" i="2"/>
  <c r="A25" i="2"/>
  <c r="A8" i="2"/>
</calcChain>
</file>

<file path=xl/sharedStrings.xml><?xml version="1.0" encoding="utf-8"?>
<sst xmlns="http://schemas.openxmlformats.org/spreadsheetml/2006/main" count="82" uniqueCount="79">
  <si>
    <t>background_father</t>
  </si>
  <si>
    <t>Skin Cancer</t>
  </si>
  <si>
    <t>POMERANIA</t>
  </si>
  <si>
    <t>GERMANY</t>
  </si>
  <si>
    <t>ITALY</t>
  </si>
  <si>
    <t>UNK</t>
  </si>
  <si>
    <t>BRAZIL</t>
  </si>
  <si>
    <t>NETHERLANDS</t>
  </si>
  <si>
    <t>POLAND</t>
  </si>
  <si>
    <t>UNKNOWN</t>
  </si>
  <si>
    <t>BRASIL</t>
  </si>
  <si>
    <t>AUSTRIA</t>
  </si>
  <si>
    <t>PORTUGAL</t>
  </si>
  <si>
    <t>ISRAEL</t>
  </si>
  <si>
    <t xml:space="preserve"> Pesticide exposure </t>
  </si>
  <si>
    <t xml:space="preserve"> Alcohol consumption </t>
  </si>
  <si>
    <t xml:space="preserve">Smoking </t>
  </si>
  <si>
    <t xml:space="preserve">Piped water </t>
  </si>
  <si>
    <t xml:space="preserve">Sewage systems </t>
  </si>
  <si>
    <t>gender</t>
  </si>
  <si>
    <t>FEMALE</t>
  </si>
  <si>
    <t>MALE</t>
  </si>
  <si>
    <t>Age_group</t>
  </si>
  <si>
    <t>60 - 74</t>
  </si>
  <si>
    <t>45 - 59</t>
  </si>
  <si>
    <t>75 plus</t>
  </si>
  <si>
    <t>30 - 44</t>
  </si>
  <si>
    <t>15 - 29</t>
  </si>
  <si>
    <t>0 - 14</t>
  </si>
  <si>
    <t>- Highest risk age group: 60–74 (82 cases)</t>
  </si>
  <si>
    <t>-- Followed closely by:</t>
  </si>
  <si>
    <t>-- 45–59 (77 cases)</t>
  </si>
  <si>
    <t>-- 75+ (43 cases)</t>
  </si>
  <si>
    <t>-- Geographical ancestry (parental background):</t>
  </si>
  <si>
    <t>-- Strong clustering in Pomerania &amp; Germany (80+ cases)</t>
  </si>
  <si>
    <t>region</t>
  </si>
  <si>
    <t>skin cancer</t>
  </si>
  <si>
    <t>FACE</t>
  </si>
  <si>
    <t>FOREARM</t>
  </si>
  <si>
    <t>CHEST</t>
  </si>
  <si>
    <t>NOSE</t>
  </si>
  <si>
    <t>BACK</t>
  </si>
  <si>
    <t>ARM</t>
  </si>
  <si>
    <t>NECK</t>
  </si>
  <si>
    <t>HAND</t>
  </si>
  <si>
    <t>THIGH</t>
  </si>
  <si>
    <t>EAR</t>
  </si>
  <si>
    <t>LIP</t>
  </si>
  <si>
    <t>ABDOMEN</t>
  </si>
  <si>
    <t>FOOT</t>
  </si>
  <si>
    <t>diameter_1</t>
  </si>
  <si>
    <t>Itch</t>
  </si>
  <si>
    <t>Grew</t>
  </si>
  <si>
    <t>Hurt</t>
  </si>
  <si>
    <t xml:space="preserve">Changed </t>
  </si>
  <si>
    <t>Bleed</t>
  </si>
  <si>
    <t>Elevation</t>
  </si>
  <si>
    <t>Biopsed</t>
  </si>
  <si>
    <t>diagnostic</t>
  </si>
  <si>
    <t>Skin_Cancer</t>
  </si>
  <si>
    <t>BCC</t>
  </si>
  <si>
    <t>ACK</t>
  </si>
  <si>
    <t>SCC</t>
  </si>
  <si>
    <t>NEV</t>
  </si>
  <si>
    <t>MEL</t>
  </si>
  <si>
    <t>SEK</t>
  </si>
  <si>
    <t>These are common dermatology/pathology abbreviations used for skin lesions and skin cancer diagnoses:</t>
  </si>
  <si>
    <r>
      <t>BCC</t>
    </r>
    <r>
      <rPr>
        <sz val="11"/>
        <color theme="1"/>
        <rFont val="Aptos Narrow"/>
        <family val="2"/>
        <scheme val="minor"/>
      </rPr>
      <t xml:space="preserve"> — Basal Cell Carcinoma</t>
    </r>
  </si>
  <si>
    <t>The most common type of skin cancer. Usually slow-growing and rarely spreads, but should still be treated.</t>
  </si>
  <si>
    <r>
      <t>ACK</t>
    </r>
    <r>
      <rPr>
        <sz val="11"/>
        <color theme="1"/>
        <rFont val="Aptos Narrow"/>
        <family val="2"/>
        <scheme val="minor"/>
      </rPr>
      <t xml:space="preserve"> — Actinic Keratosis</t>
    </r>
  </si>
  <si>
    <t>Rough, scaly patches caused by sun damage. Considered precancerous because they can develop into SCC.</t>
  </si>
  <si>
    <r>
      <t>SCC</t>
    </r>
    <r>
      <rPr>
        <sz val="11"/>
        <color theme="1"/>
        <rFont val="Aptos Narrow"/>
        <family val="2"/>
        <scheme val="minor"/>
      </rPr>
      <t xml:space="preserve"> — Squamous Cell Carcinoma</t>
    </r>
  </si>
  <si>
    <t>A common skin cancer that can spread if untreated. Often linked to long-term sun exposure.</t>
  </si>
  <si>
    <r>
      <t>NEV</t>
    </r>
    <r>
      <rPr>
        <sz val="11"/>
        <color theme="1"/>
        <rFont val="Aptos Narrow"/>
        <family val="2"/>
        <scheme val="minor"/>
      </rPr>
      <t xml:space="preserve"> — Melanocytic Nevus</t>
    </r>
  </si>
  <si>
    <t>A mole or benign pigmented skin lesion. Usually harmless.</t>
  </si>
  <si>
    <r>
      <t>MEL</t>
    </r>
    <r>
      <rPr>
        <sz val="11"/>
        <color theme="1"/>
        <rFont val="Aptos Narrow"/>
        <family val="2"/>
        <scheme val="minor"/>
      </rPr>
      <t xml:space="preserve"> — Melanoma</t>
    </r>
  </si>
  <si>
    <t>The most serious type of skin cancer because it can spread quickly if not detected early.</t>
  </si>
  <si>
    <r>
      <t>SEK</t>
    </r>
    <r>
      <rPr>
        <sz val="11"/>
        <color theme="1"/>
        <rFont val="Aptos Narrow"/>
        <family val="2"/>
        <scheme val="minor"/>
      </rPr>
      <t xml:space="preserve"> — Seborrheic Keratosis</t>
    </r>
  </si>
  <si>
    <t>A very common non-cancerous skin growth, often appearing waxy or “stuck on” to the skin.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</si>
</sst>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995A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1F1F2"/>
      <color rgb="FFBCBABE"/>
      <color rgb="FFA1D6E2"/>
      <color rgb="FF1995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8306224298964681"/>
          <c:y val="0"/>
          <c:w val="0.61504986876640422"/>
          <c:h val="0.9836183938546143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1F1F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'Anamoly detection '!$A$3:$A$7</c:f>
              <c:strCache>
                <c:ptCount val="4"/>
                <c:pt idx="0">
                  <c:v> Alcohol consumption </c:v>
                </c:pt>
                <c:pt idx="1">
                  <c:v> Pesticide exposure </c:v>
                </c:pt>
                <c:pt idx="2">
                  <c:v>Sewage systems </c:v>
                </c:pt>
                <c:pt idx="3">
                  <c:v>Piped water </c:v>
                </c:pt>
              </c:strCache>
            </c:strRef>
          </c:cat>
          <c:val>
            <c:numRef>
              <c:f>'Anamoly detection '!$B$3:$B$7</c:f>
              <c:numCache>
                <c:formatCode>General</c:formatCode>
                <c:ptCount val="5"/>
                <c:pt idx="0">
                  <c:v>138</c:v>
                </c:pt>
                <c:pt idx="1">
                  <c:v>223</c:v>
                </c:pt>
                <c:pt idx="2">
                  <c:v>273</c:v>
                </c:pt>
                <c:pt idx="3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B-419C-8A0A-073938B9B8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7"/>
        <c:axId val="1132544144"/>
        <c:axId val="1132536944"/>
      </c:barChart>
      <c:catAx>
        <c:axId val="113254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36944"/>
        <c:crosses val="autoZero"/>
        <c:auto val="1"/>
        <c:lblAlgn val="ctr"/>
        <c:lblOffset val="100"/>
        <c:noMultiLvlLbl val="0"/>
      </c:catAx>
      <c:valAx>
        <c:axId val="1132536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254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992800451736362"/>
          <c:y val="0.21858074426743168"/>
          <c:w val="0.41026145018012838"/>
          <c:h val="0.68821358267716537"/>
        </c:manualLayout>
      </c:layout>
      <c:doughnutChart>
        <c:varyColors val="1"/>
        <c:ser>
          <c:idx val="0"/>
          <c:order val="0"/>
          <c:tx>
            <c:strRef>
              <c:f>'Anamoly detection '!$B$17</c:f>
              <c:strCache>
                <c:ptCount val="1"/>
                <c:pt idx="0">
                  <c:v>Skin Cancer</c:v>
                </c:pt>
              </c:strCache>
            </c:strRef>
          </c:tx>
          <c:dPt>
            <c:idx val="0"/>
            <c:bubble3D val="0"/>
            <c:spPr>
              <a:solidFill>
                <a:srgbClr val="1995A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7D-4051-BE57-B9CC9CDE729E}"/>
              </c:ext>
            </c:extLst>
          </c:dPt>
          <c:dPt>
            <c:idx val="1"/>
            <c:bubble3D val="0"/>
            <c:spPr>
              <a:solidFill>
                <a:srgbClr val="A1D6E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7D-4051-BE57-B9CC9CDE729E}"/>
              </c:ext>
            </c:extLst>
          </c:dPt>
          <c:dPt>
            <c:idx val="2"/>
            <c:bubble3D val="0"/>
            <c:spPr>
              <a:solidFill>
                <a:srgbClr val="F1F1F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7D-4051-BE57-B9CC9CDE729E}"/>
              </c:ext>
            </c:extLst>
          </c:dPt>
          <c:dPt>
            <c:idx val="3"/>
            <c:bubble3D val="0"/>
            <c:spPr>
              <a:solidFill>
                <a:srgbClr val="F1F1F2">
                  <a:alpha val="77000"/>
                </a:srgbClr>
              </a:solidFill>
              <a:ln w="19050">
                <a:solidFill>
                  <a:srgbClr val="BCBAB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7D-4051-BE57-B9CC9CDE729E}"/>
              </c:ext>
            </c:extLst>
          </c:dPt>
          <c:dPt>
            <c:idx val="4"/>
            <c:bubble3D val="0"/>
            <c:spPr>
              <a:solidFill>
                <a:schemeClr val="accent1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7D-4051-BE57-B9CC9CDE729E}"/>
              </c:ext>
            </c:extLst>
          </c:dPt>
          <c:dPt>
            <c:idx val="5"/>
            <c:bubble3D val="0"/>
            <c:spPr>
              <a:solidFill>
                <a:schemeClr val="accent1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7D-4051-BE57-B9CC9CDE729E}"/>
              </c:ext>
            </c:extLst>
          </c:dPt>
          <c:dLbls>
            <c:dLbl>
              <c:idx val="0"/>
              <c:layout>
                <c:manualLayout>
                  <c:x val="-0.19650897721450158"/>
                  <c:y val="-9.240956072351423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1267920444207423"/>
                      <c:h val="0.150277218254694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B7D-4051-BE57-B9CC9CDE729E}"/>
                </c:ext>
              </c:extLst>
            </c:dLbl>
            <c:dLbl>
              <c:idx val="1"/>
              <c:layout>
                <c:manualLayout>
                  <c:x val="0.13583762843802183"/>
                  <c:y val="-3.98902622637286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1931931068377409"/>
                      <c:h val="0.150277218254694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B7D-4051-BE57-B9CC9CDE729E}"/>
                </c:ext>
              </c:extLst>
            </c:dLbl>
            <c:dLbl>
              <c:idx val="2"/>
              <c:layout>
                <c:manualLayout>
                  <c:x val="0.23870998943857116"/>
                  <c:y val="7.40681397383466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03775449383568"/>
                      <c:h val="0.1602998026409489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B7D-4051-BE57-B9CC9CDE729E}"/>
                </c:ext>
              </c:extLst>
            </c:dLbl>
            <c:dLbl>
              <c:idx val="3"/>
              <c:layout>
                <c:manualLayout>
                  <c:x val="-0.10294648178937792"/>
                  <c:y val="0.25268927139921449"/>
                </c:manualLayout>
              </c:layout>
              <c:spPr>
                <a:solidFill>
                  <a:srgbClr val="BCBABE"/>
                </a:solidFill>
                <a:ln>
                  <a:solidFill>
                    <a:srgbClr val="BCBABE"/>
                  </a:solidFill>
                </a:ln>
                <a:effectLst/>
              </c:spPr>
              <c:txPr>
                <a:bodyPr rot="0" spcFirstLastPara="1" vertOverflow="overflow" horzOverflow="overflow" vert="horz" wrap="none" lIns="38100" tIns="19050" rIns="38100" bIns="19050" anchor="b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1560085118842218"/>
                      <c:h val="0.110371523327025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B7D-4051-BE57-B9CC9CDE729E}"/>
                </c:ext>
              </c:extLst>
            </c:dLbl>
            <c:dLbl>
              <c:idx val="4"/>
              <c:layout>
                <c:manualLayout>
                  <c:x val="-0.22967238656920874"/>
                  <c:y val="0.14189200187185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912010749652309"/>
                      <c:h val="0.153441575617001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8B7D-4051-BE57-B9CC9CDE729E}"/>
                </c:ext>
              </c:extLst>
            </c:dLbl>
            <c:dLbl>
              <c:idx val="5"/>
              <c:layout>
                <c:manualLayout>
                  <c:x val="-0.2245192458512407"/>
                  <c:y val="-0.14253901401859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4108291244470936"/>
                      <c:h val="0.169657063215935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8B7D-4051-BE57-B9CC9CDE729E}"/>
                </c:ext>
              </c:extLst>
            </c:dLbl>
            <c:spPr>
              <a:noFill/>
              <a:ln>
                <a:solidFill>
                  <a:srgbClr val="BCBABE"/>
                </a:solidFill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b" anchorCtr="1">
                <a:no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'Anamoly detection '!$A$18:$A$23</c:f>
              <c:strCache>
                <c:ptCount val="6"/>
                <c:pt idx="0">
                  <c:v>60 - 74</c:v>
                </c:pt>
                <c:pt idx="1">
                  <c:v>45 - 59</c:v>
                </c:pt>
                <c:pt idx="2">
                  <c:v>75 plus</c:v>
                </c:pt>
                <c:pt idx="3">
                  <c:v>30 - 44</c:v>
                </c:pt>
                <c:pt idx="4">
                  <c:v>15 - 29</c:v>
                </c:pt>
                <c:pt idx="5">
                  <c:v>0 - 14</c:v>
                </c:pt>
              </c:strCache>
            </c:strRef>
          </c:cat>
          <c:val>
            <c:numRef>
              <c:f>'Anamoly detection '!$B$18:$B$23</c:f>
              <c:numCache>
                <c:formatCode>General</c:formatCode>
                <c:ptCount val="6"/>
                <c:pt idx="0">
                  <c:v>82</c:v>
                </c:pt>
                <c:pt idx="1">
                  <c:v>77</c:v>
                </c:pt>
                <c:pt idx="2">
                  <c:v>43</c:v>
                </c:pt>
                <c:pt idx="3">
                  <c:v>17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B7D-4051-BE57-B9CC9CDE72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23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83873410054513"/>
          <c:y val="0.18313507686539182"/>
          <c:w val="0.81115485564304457"/>
          <c:h val="0.787947546633006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1F1F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'Anamoly detection '!$D$18:$D$30</c:f>
              <c:strCache>
                <c:ptCount val="13"/>
                <c:pt idx="0">
                  <c:v>FOOT</c:v>
                </c:pt>
                <c:pt idx="1">
                  <c:v>ABDOMEN</c:v>
                </c:pt>
                <c:pt idx="2">
                  <c:v>LIP</c:v>
                </c:pt>
                <c:pt idx="3">
                  <c:v>EAR</c:v>
                </c:pt>
                <c:pt idx="4">
                  <c:v>THIGH</c:v>
                </c:pt>
                <c:pt idx="5">
                  <c:v>NECK</c:v>
                </c:pt>
                <c:pt idx="6">
                  <c:v>HAND</c:v>
                </c:pt>
                <c:pt idx="7">
                  <c:v>BACK</c:v>
                </c:pt>
                <c:pt idx="8">
                  <c:v>ARM</c:v>
                </c:pt>
                <c:pt idx="9">
                  <c:v>NOSE</c:v>
                </c:pt>
                <c:pt idx="10">
                  <c:v>CHEST</c:v>
                </c:pt>
                <c:pt idx="11">
                  <c:v>FOREARM</c:v>
                </c:pt>
                <c:pt idx="12">
                  <c:v>FACE</c:v>
                </c:pt>
              </c:strCache>
            </c:strRef>
          </c:cat>
          <c:val>
            <c:numRef>
              <c:f>'Anamoly detection '!$E$18:$E$30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20</c:v>
                </c:pt>
                <c:pt idx="8">
                  <c:v>20</c:v>
                </c:pt>
                <c:pt idx="9">
                  <c:v>21</c:v>
                </c:pt>
                <c:pt idx="10">
                  <c:v>33</c:v>
                </c:pt>
                <c:pt idx="11">
                  <c:v>34</c:v>
                </c:pt>
                <c:pt idx="1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E-44C3-94B4-41A3EA788A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47153760"/>
        <c:axId val="1047152680"/>
      </c:barChart>
      <c:catAx>
        <c:axId val="104715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52680"/>
        <c:crosses val="autoZero"/>
        <c:auto val="1"/>
        <c:lblAlgn val="ctr"/>
        <c:lblOffset val="100"/>
        <c:noMultiLvlLbl val="0"/>
      </c:catAx>
      <c:valAx>
        <c:axId val="10471526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715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44444444444445"/>
          <c:y val="0.21296296296296297"/>
          <c:w val="0.81111111111111112"/>
          <c:h val="0.480933945756780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1F1F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'Anamoly detection '!$H$26:$H$31</c:f>
              <c:strCache>
                <c:ptCount val="6"/>
                <c:pt idx="0">
                  <c:v>BCC</c:v>
                </c:pt>
                <c:pt idx="1">
                  <c:v>ACK</c:v>
                </c:pt>
                <c:pt idx="2">
                  <c:v>SCC</c:v>
                </c:pt>
                <c:pt idx="3">
                  <c:v>NEV</c:v>
                </c:pt>
                <c:pt idx="4">
                  <c:v>MEL</c:v>
                </c:pt>
                <c:pt idx="5">
                  <c:v>SEK</c:v>
                </c:pt>
              </c:strCache>
            </c:strRef>
          </c:cat>
          <c:val>
            <c:numRef>
              <c:f>'Anamoly detection '!$I$26:$I$31</c:f>
              <c:numCache>
                <c:formatCode>General</c:formatCode>
                <c:ptCount val="6"/>
                <c:pt idx="0">
                  <c:v>128</c:v>
                </c:pt>
                <c:pt idx="1">
                  <c:v>54</c:v>
                </c:pt>
                <c:pt idx="2">
                  <c:v>23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1-496C-BDA8-513C725679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3282008"/>
        <c:axId val="1323286688"/>
      </c:barChart>
      <c:catAx>
        <c:axId val="1323282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86688"/>
        <c:crosses val="autoZero"/>
        <c:auto val="1"/>
        <c:lblAlgn val="ctr"/>
        <c:lblOffset val="100"/>
        <c:noMultiLvlLbl val="0"/>
      </c:catAx>
      <c:valAx>
        <c:axId val="13232866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23282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52775347526004"/>
          <c:y val="0.12890067028474031"/>
          <c:w val="0.45174945724377047"/>
          <c:h val="0.728918446947119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995A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E2-4021-BE03-AA61DBD06386}"/>
              </c:ext>
            </c:extLst>
          </c:dPt>
          <c:dPt>
            <c:idx val="1"/>
            <c:bubble3D val="0"/>
            <c:spPr>
              <a:solidFill>
                <a:srgbClr val="A1D6E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E2-4021-BE03-AA61DBD0638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'Anamoly detection '!$H$3:$H$4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'Anamoly detection '!$I$3:$I$4</c:f>
              <c:numCache>
                <c:formatCode>General</c:formatCode>
                <c:ptCount val="2"/>
                <c:pt idx="0">
                  <c:v>115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E2-4021-BE03-AA61DBD06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47010357471551"/>
          <c:y val="0.20182994829508971"/>
          <c:w val="0.82452680427933522"/>
          <c:h val="0.74203827028048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'Anamoly detection '!$P$1</c:f>
              <c:strCache>
                <c:ptCount val="1"/>
                <c:pt idx="0">
                  <c:v>skin cancer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'Anamoly detection '!$O$2:$O$43</c:f>
              <c:numCache>
                <c:formatCode>General</c:formatCode>
                <c:ptCount val="42"/>
                <c:pt idx="0">
                  <c:v>10</c:v>
                </c:pt>
                <c:pt idx="1">
                  <c:v>7</c:v>
                </c:pt>
                <c:pt idx="2">
                  <c:v>9</c:v>
                </c:pt>
                <c:pt idx="3">
                  <c:v>5</c:v>
                </c:pt>
                <c:pt idx="4">
                  <c:v>6</c:v>
                </c:pt>
                <c:pt idx="5">
                  <c:v>11</c:v>
                </c:pt>
                <c:pt idx="6">
                  <c:v>15</c:v>
                </c:pt>
                <c:pt idx="7">
                  <c:v>8</c:v>
                </c:pt>
                <c:pt idx="8">
                  <c:v>13</c:v>
                </c:pt>
                <c:pt idx="9">
                  <c:v>4</c:v>
                </c:pt>
                <c:pt idx="10">
                  <c:v>17</c:v>
                </c:pt>
                <c:pt idx="11">
                  <c:v>20</c:v>
                </c:pt>
                <c:pt idx="12">
                  <c:v>12</c:v>
                </c:pt>
                <c:pt idx="13">
                  <c:v>14</c:v>
                </c:pt>
                <c:pt idx="14">
                  <c:v>3</c:v>
                </c:pt>
                <c:pt idx="15">
                  <c:v>16</c:v>
                </c:pt>
                <c:pt idx="16">
                  <c:v>18</c:v>
                </c:pt>
                <c:pt idx="17">
                  <c:v>2</c:v>
                </c:pt>
                <c:pt idx="18">
                  <c:v>25</c:v>
                </c:pt>
                <c:pt idx="19">
                  <c:v>30</c:v>
                </c:pt>
                <c:pt idx="20">
                  <c:v>1</c:v>
                </c:pt>
                <c:pt idx="21">
                  <c:v>0</c:v>
                </c:pt>
                <c:pt idx="22">
                  <c:v>29</c:v>
                </c:pt>
                <c:pt idx="23">
                  <c:v>31</c:v>
                </c:pt>
                <c:pt idx="24">
                  <c:v>23</c:v>
                </c:pt>
                <c:pt idx="25">
                  <c:v>22</c:v>
                </c:pt>
                <c:pt idx="26">
                  <c:v>35</c:v>
                </c:pt>
                <c:pt idx="27">
                  <c:v>19</c:v>
                </c:pt>
                <c:pt idx="28">
                  <c:v>40</c:v>
                </c:pt>
              </c:numCache>
            </c:numRef>
          </c:xVal>
          <c:yVal>
            <c:numRef>
              <c:f>'Anamoly detection '!$P$2:$P$43</c:f>
              <c:numCache>
                <c:formatCode>General</c:formatCode>
                <c:ptCount val="42"/>
                <c:pt idx="0">
                  <c:v>35</c:v>
                </c:pt>
                <c:pt idx="1">
                  <c:v>25</c:v>
                </c:pt>
                <c:pt idx="2">
                  <c:v>20</c:v>
                </c:pt>
                <c:pt idx="3">
                  <c:v>20</c:v>
                </c:pt>
                <c:pt idx="4">
                  <c:v>17</c:v>
                </c:pt>
                <c:pt idx="5">
                  <c:v>14</c:v>
                </c:pt>
                <c:pt idx="6">
                  <c:v>12</c:v>
                </c:pt>
                <c:pt idx="7">
                  <c:v>11</c:v>
                </c:pt>
                <c:pt idx="8">
                  <c:v>11</c:v>
                </c:pt>
                <c:pt idx="9">
                  <c:v>9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29-4321-841C-93BDB41CF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418768"/>
        <c:axId val="1237426328"/>
      </c:scatterChart>
      <c:valAx>
        <c:axId val="123741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57150" cap="flat" cmpd="sng" algn="ctr">
            <a:solidFill>
              <a:srgbClr val="BCBABE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426328"/>
        <c:crosses val="autoZero"/>
        <c:crossBetween val="midCat"/>
      </c:valAx>
      <c:valAx>
        <c:axId val="1237426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rgbClr val="BCBABE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41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30480</xdr:rowOff>
    </xdr:from>
    <xdr:to>
      <xdr:col>23</xdr:col>
      <xdr:colOff>60960</xdr:colOff>
      <xdr:row>29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E489D5B-48DE-0BDE-5DE0-02BA690C7A99}"/>
            </a:ext>
          </a:extLst>
        </xdr:cNvPr>
        <xdr:cNvSpPr/>
      </xdr:nvSpPr>
      <xdr:spPr>
        <a:xfrm>
          <a:off x="106680" y="30480"/>
          <a:ext cx="13975080" cy="5273040"/>
        </a:xfrm>
        <a:prstGeom prst="roundRect">
          <a:avLst>
            <a:gd name="adj" fmla="val 4673"/>
          </a:avLst>
        </a:prstGeom>
        <a:solidFill>
          <a:srgbClr val="A1D6E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259080</xdr:colOff>
      <xdr:row>4</xdr:row>
      <xdr:rowOff>91440</xdr:rowOff>
    </xdr:from>
    <xdr:to>
      <xdr:col>22</xdr:col>
      <xdr:colOff>76200</xdr:colOff>
      <xdr:row>16</xdr:row>
      <xdr:rowOff>15240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43DEDEA-47D2-4A9C-8EE9-52B9899E3A3E}"/>
            </a:ext>
          </a:extLst>
        </xdr:cNvPr>
        <xdr:cNvSpPr/>
      </xdr:nvSpPr>
      <xdr:spPr>
        <a:xfrm>
          <a:off x="9403080" y="822960"/>
          <a:ext cx="4084320" cy="2118360"/>
        </a:xfrm>
        <a:prstGeom prst="roundRect">
          <a:avLst>
            <a:gd name="adj" fmla="val 4673"/>
          </a:avLst>
        </a:prstGeom>
        <a:solidFill>
          <a:srgbClr val="BCBAB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312420</xdr:colOff>
      <xdr:row>1</xdr:row>
      <xdr:rowOff>7620</xdr:rowOff>
    </xdr:from>
    <xdr:to>
      <xdr:col>21</xdr:col>
      <xdr:colOff>571500</xdr:colOff>
      <xdr:row>3</xdr:row>
      <xdr:rowOff>167640</xdr:rowOff>
    </xdr:to>
    <xdr:sp macro="" textlink="count">
      <xdr:nvSpPr>
        <xdr:cNvPr id="9" name="Rectangle: Rounded Corners 8">
          <a:extLst>
            <a:ext uri="{FF2B5EF4-FFF2-40B4-BE49-F238E27FC236}">
              <a16:creationId xmlns:a16="http://schemas.microsoft.com/office/drawing/2014/main" id="{AC70943F-0FC7-4910-BB7B-0FB02BA748FA}"/>
            </a:ext>
          </a:extLst>
        </xdr:cNvPr>
        <xdr:cNvSpPr/>
      </xdr:nvSpPr>
      <xdr:spPr>
        <a:xfrm>
          <a:off x="11285220" y="190500"/>
          <a:ext cx="2087880" cy="525780"/>
        </a:xfrm>
        <a:prstGeom prst="roundRect">
          <a:avLst>
            <a:gd name="adj" fmla="val 4673"/>
          </a:avLst>
        </a:prstGeom>
        <a:solidFill>
          <a:srgbClr val="F1F1F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7D51151-2824-4692-AE87-6D9B98ABAFD4}" type="TxLink">
            <a:rPr lang="en-US" sz="1800" b="1" i="0" u="none" strike="noStrike">
              <a:solidFill>
                <a:srgbClr val="000000"/>
              </a:solidFill>
              <a:latin typeface="Trebuchet MS" panose="020B0603020202020204" pitchFamily="34" charset="0"/>
            </a:rPr>
            <a:t>1088</a:t>
          </a:fld>
          <a:endParaRPr lang="en-GB" sz="2800" b="1"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8</xdr:col>
      <xdr:colOff>129540</xdr:colOff>
      <xdr:row>16</xdr:row>
      <xdr:rowOff>167640</xdr:rowOff>
    </xdr:from>
    <xdr:to>
      <xdr:col>14</xdr:col>
      <xdr:colOff>556260</xdr:colOff>
      <xdr:row>28</xdr:row>
      <xdr:rowOff>91440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E12674E-F010-4A3B-B5D9-4E2A8F61879A}"/>
            </a:ext>
          </a:extLst>
        </xdr:cNvPr>
        <xdr:cNvSpPr/>
      </xdr:nvSpPr>
      <xdr:spPr>
        <a:xfrm>
          <a:off x="5006340" y="3093720"/>
          <a:ext cx="4084320" cy="2118360"/>
        </a:xfrm>
        <a:prstGeom prst="roundRect">
          <a:avLst>
            <a:gd name="adj" fmla="val 4673"/>
          </a:avLst>
        </a:prstGeom>
        <a:solidFill>
          <a:srgbClr val="BCBAB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7620</xdr:colOff>
      <xdr:row>4</xdr:row>
      <xdr:rowOff>76200</xdr:rowOff>
    </xdr:from>
    <xdr:to>
      <xdr:col>7</xdr:col>
      <xdr:colOff>434340</xdr:colOff>
      <xdr:row>16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901A405-B761-4D36-AAD8-FD3813EC604E}"/>
            </a:ext>
          </a:extLst>
        </xdr:cNvPr>
        <xdr:cNvSpPr/>
      </xdr:nvSpPr>
      <xdr:spPr>
        <a:xfrm>
          <a:off x="617220" y="807720"/>
          <a:ext cx="4084320" cy="2118360"/>
        </a:xfrm>
        <a:prstGeom prst="roundRect">
          <a:avLst>
            <a:gd name="adj" fmla="val 4673"/>
          </a:avLst>
        </a:prstGeom>
        <a:solidFill>
          <a:srgbClr val="BCBAB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22860</xdr:colOff>
      <xdr:row>17</xdr:row>
      <xdr:rowOff>0</xdr:rowOff>
    </xdr:from>
    <xdr:to>
      <xdr:col>7</xdr:col>
      <xdr:colOff>449580</xdr:colOff>
      <xdr:row>28</xdr:row>
      <xdr:rowOff>106680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D3B25D3-6822-48D9-995C-546DF356347C}"/>
            </a:ext>
          </a:extLst>
        </xdr:cNvPr>
        <xdr:cNvSpPr/>
      </xdr:nvSpPr>
      <xdr:spPr>
        <a:xfrm>
          <a:off x="632460" y="3108960"/>
          <a:ext cx="4084320" cy="2118360"/>
        </a:xfrm>
        <a:prstGeom prst="roundRect">
          <a:avLst>
            <a:gd name="adj" fmla="val 4673"/>
          </a:avLst>
        </a:prstGeom>
        <a:solidFill>
          <a:srgbClr val="BCBAB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152400</xdr:colOff>
      <xdr:row>4</xdr:row>
      <xdr:rowOff>91440</xdr:rowOff>
    </xdr:from>
    <xdr:to>
      <xdr:col>14</xdr:col>
      <xdr:colOff>579120</xdr:colOff>
      <xdr:row>16</xdr:row>
      <xdr:rowOff>15240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297FF0CB-1B9A-4F46-9E2C-9966000E32FC}"/>
            </a:ext>
          </a:extLst>
        </xdr:cNvPr>
        <xdr:cNvSpPr/>
      </xdr:nvSpPr>
      <xdr:spPr>
        <a:xfrm>
          <a:off x="5029200" y="822960"/>
          <a:ext cx="4084320" cy="2118360"/>
        </a:xfrm>
        <a:prstGeom prst="roundRect">
          <a:avLst>
            <a:gd name="adj" fmla="val 4673"/>
          </a:avLst>
        </a:prstGeom>
        <a:solidFill>
          <a:srgbClr val="BCBAB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243840</xdr:colOff>
      <xdr:row>16</xdr:row>
      <xdr:rowOff>175260</xdr:rowOff>
    </xdr:from>
    <xdr:to>
      <xdr:col>22</xdr:col>
      <xdr:colOff>60960</xdr:colOff>
      <xdr:row>28</xdr:row>
      <xdr:rowOff>99060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2C87806-7428-494D-A7A5-1DCD9158D3AE}"/>
            </a:ext>
          </a:extLst>
        </xdr:cNvPr>
        <xdr:cNvSpPr/>
      </xdr:nvSpPr>
      <xdr:spPr>
        <a:xfrm>
          <a:off x="9387840" y="3101340"/>
          <a:ext cx="4084320" cy="2118360"/>
        </a:xfrm>
        <a:prstGeom prst="roundRect">
          <a:avLst>
            <a:gd name="adj" fmla="val 4673"/>
          </a:avLst>
        </a:prstGeom>
        <a:solidFill>
          <a:srgbClr val="BCBAB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22860</xdr:colOff>
      <xdr:row>2</xdr:row>
      <xdr:rowOff>53340</xdr:rowOff>
    </xdr:from>
    <xdr:to>
      <xdr:col>21</xdr:col>
      <xdr:colOff>449580</xdr:colOff>
      <xdr:row>3</xdr:row>
      <xdr:rowOff>114300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F5C0BDCF-133F-C9B9-E7E4-C819279D01D9}"/>
            </a:ext>
          </a:extLst>
        </xdr:cNvPr>
        <xdr:cNvSpPr txBox="1">
          <a:spLocks noChangeArrowheads="1"/>
        </xdr:cNvSpPr>
      </xdr:nvSpPr>
      <xdr:spPr bwMode="auto">
        <a:xfrm>
          <a:off x="11605260" y="419100"/>
          <a:ext cx="164592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Trebuchet MS" panose="020B0603020202020204" pitchFamily="34" charset="0"/>
            </a:rPr>
            <a:t>Total Patients</a:t>
          </a:r>
        </a:p>
      </xdr:txBody>
    </xdr:sp>
    <xdr:clientData/>
  </xdr:twoCellAnchor>
  <xdr:twoCellAnchor>
    <xdr:from>
      <xdr:col>0</xdr:col>
      <xdr:colOff>586740</xdr:colOff>
      <xdr:row>0</xdr:row>
      <xdr:rowOff>83820</xdr:rowOff>
    </xdr:from>
    <xdr:to>
      <xdr:col>10</xdr:col>
      <xdr:colOff>53340</xdr:colOff>
      <xdr:row>2</xdr:row>
      <xdr:rowOff>129540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84117DF9-E273-4F52-9504-7781925064AC}"/>
            </a:ext>
          </a:extLst>
        </xdr:cNvPr>
        <xdr:cNvSpPr txBox="1">
          <a:spLocks noChangeArrowheads="1"/>
        </xdr:cNvSpPr>
      </xdr:nvSpPr>
      <xdr:spPr bwMode="auto">
        <a:xfrm>
          <a:off x="586740" y="83820"/>
          <a:ext cx="5562600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2800" b="1" i="0" u="none" strike="noStrike" baseline="0">
              <a:solidFill>
                <a:srgbClr val="000000"/>
              </a:solidFill>
              <a:latin typeface="Trebuchet MS" panose="020B0603020202020204" pitchFamily="34" charset="0"/>
            </a:rPr>
            <a:t>Derm AI Diagnostics View</a:t>
          </a:r>
        </a:p>
        <a:p>
          <a:pPr algn="l" rtl="0">
            <a:defRPr sz="1000"/>
          </a:pPr>
          <a:endParaRPr lang="en-GB" sz="2800" b="1" i="0" u="none" strike="noStrike" baseline="0">
            <a:solidFill>
              <a:srgbClr val="000000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350520</xdr:colOff>
      <xdr:row>5</xdr:row>
      <xdr:rowOff>160020</xdr:rowOff>
    </xdr:from>
    <xdr:to>
      <xdr:col>7</xdr:col>
      <xdr:colOff>350520</xdr:colOff>
      <xdr:row>15</xdr:row>
      <xdr:rowOff>99060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6C3C2EC-A181-4048-AA86-BAC6D42E0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160020</xdr:colOff>
      <xdr:row>4</xdr:row>
      <xdr:rowOff>83820</xdr:rowOff>
    </xdr:from>
    <xdr:to>
      <xdr:col>7</xdr:col>
      <xdr:colOff>236220</xdr:colOff>
      <xdr:row>7</xdr:row>
      <xdr:rowOff>53340</xdr:rowOff>
    </xdr:to>
    <xdr:sp macro="" textlink="story">
      <xdr:nvSpPr>
        <xdr:cNvPr id="17" name="Text Box 1">
          <a:extLst>
            <a:ext uri="{FF2B5EF4-FFF2-40B4-BE49-F238E27FC236}">
              <a16:creationId xmlns:a16="http://schemas.microsoft.com/office/drawing/2014/main" id="{C182FF6E-30AB-4D7B-B159-19796578F8A8}"/>
            </a:ext>
          </a:extLst>
        </xdr:cNvPr>
        <xdr:cNvSpPr txBox="1">
          <a:spLocks noChangeArrowheads="1"/>
        </xdr:cNvSpPr>
      </xdr:nvSpPr>
      <xdr:spPr bwMode="auto">
        <a:xfrm>
          <a:off x="769620" y="815340"/>
          <a:ext cx="3733800" cy="518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fld id="{89A75C7E-4980-4644-BE7A-982DC5EA72F9}" type="TxLink">
            <a:rPr lang="en-US" sz="1400" b="1" i="0" u="none" strike="noStrike" baseline="0">
              <a:solidFill>
                <a:srgbClr val="000000"/>
              </a:solidFill>
              <a:latin typeface="Aptos Narrow"/>
            </a:rPr>
            <a:pPr algn="ctr" rtl="0">
              <a:defRPr sz="1000"/>
            </a:pPr>
            <a:t>The Enviromental Factor with the Highest Count of Skin Cancer is Piped water  at 306 Cases </a:t>
          </a:fld>
          <a:endParaRPr lang="en-GB" sz="2000" b="1" i="0" u="none" strike="noStrike" baseline="0">
            <a:solidFill>
              <a:srgbClr val="000000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8</xdr:col>
      <xdr:colOff>320040</xdr:colOff>
      <xdr:row>5</xdr:row>
      <xdr:rowOff>0</xdr:rowOff>
    </xdr:from>
    <xdr:to>
      <xdr:col>14</xdr:col>
      <xdr:colOff>487680</xdr:colOff>
      <xdr:row>15</xdr:row>
      <xdr:rowOff>137160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B26ACF9-0A73-4185-95CD-4650301C1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320040</xdr:colOff>
      <xdr:row>4</xdr:row>
      <xdr:rowOff>60960</xdr:rowOff>
    </xdr:from>
    <xdr:to>
      <xdr:col>14</xdr:col>
      <xdr:colOff>396240</xdr:colOff>
      <xdr:row>7</xdr:row>
      <xdr:rowOff>30480</xdr:rowOff>
    </xdr:to>
    <xdr:sp macro="" textlink="agegroup">
      <xdr:nvSpPr>
        <xdr:cNvPr id="19" name="Text Box 1">
          <a:extLst>
            <a:ext uri="{FF2B5EF4-FFF2-40B4-BE49-F238E27FC236}">
              <a16:creationId xmlns:a16="http://schemas.microsoft.com/office/drawing/2014/main" id="{B8C5F67D-B915-4C43-9542-A859792C87F4}"/>
            </a:ext>
          </a:extLst>
        </xdr:cNvPr>
        <xdr:cNvSpPr txBox="1">
          <a:spLocks noChangeArrowheads="1"/>
        </xdr:cNvSpPr>
      </xdr:nvSpPr>
      <xdr:spPr bwMode="auto">
        <a:xfrm>
          <a:off x="5196840" y="792480"/>
          <a:ext cx="3733800" cy="518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marL="0" indent="0" algn="ctr" rtl="0">
            <a:defRPr sz="1000"/>
          </a:pPr>
          <a:fld id="{3546859A-0315-4544-9FCB-680853D644A8}" type="TxLink">
            <a:rPr lang="en-US" sz="1400" b="1" i="0" u="none" strike="noStrike" baseline="0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 rtl="0">
              <a:defRPr sz="1000"/>
            </a:pPr>
            <a:t>The Age Group with the Highest Count of Skin Cancer is 60 - 74 at 82 cases </a:t>
          </a:fld>
          <a:endParaRPr lang="en-GB" sz="1400" b="1" i="0" u="none" strike="noStrike" baseline="0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358140</xdr:colOff>
      <xdr:row>5</xdr:row>
      <xdr:rowOff>22860</xdr:rowOff>
    </xdr:from>
    <xdr:to>
      <xdr:col>21</xdr:col>
      <xdr:colOff>274320</xdr:colOff>
      <xdr:row>16</xdr:row>
      <xdr:rowOff>7620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02CAC93-278D-44D0-832C-F5EE447951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320040</xdr:colOff>
      <xdr:row>4</xdr:row>
      <xdr:rowOff>76200</xdr:rowOff>
    </xdr:from>
    <xdr:to>
      <xdr:col>21</xdr:col>
      <xdr:colOff>396240</xdr:colOff>
      <xdr:row>7</xdr:row>
      <xdr:rowOff>45720</xdr:rowOff>
    </xdr:to>
    <xdr:sp macro="" textlink="region">
      <xdr:nvSpPr>
        <xdr:cNvPr id="21" name="Text Box 1">
          <a:extLst>
            <a:ext uri="{FF2B5EF4-FFF2-40B4-BE49-F238E27FC236}">
              <a16:creationId xmlns:a16="http://schemas.microsoft.com/office/drawing/2014/main" id="{20D0296D-53DD-4D61-A765-37435494D751}"/>
            </a:ext>
          </a:extLst>
        </xdr:cNvPr>
        <xdr:cNvSpPr txBox="1">
          <a:spLocks noChangeArrowheads="1"/>
        </xdr:cNvSpPr>
      </xdr:nvSpPr>
      <xdr:spPr bwMode="auto">
        <a:xfrm>
          <a:off x="9464040" y="807720"/>
          <a:ext cx="3733800" cy="518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marL="0" indent="0" algn="ctr" rtl="0">
            <a:defRPr sz="1000"/>
          </a:pPr>
          <a:fld id="{1A503F17-FCE4-4EDE-BB94-D264A80E16AC}" type="TxLink">
            <a:rPr lang="en-US" sz="1400" b="1" i="0" u="none" strike="noStrike" baseline="0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 rtl="0">
              <a:defRPr sz="1000"/>
            </a:pPr>
            <a:t>The body region with the highest count of skin cancer is the FACE at 57 Counts </a:t>
          </a:fld>
          <a:endParaRPr lang="en-GB" sz="1400" b="1" i="0" u="none" strike="noStrike" baseline="0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365760</xdr:colOff>
      <xdr:row>16</xdr:row>
      <xdr:rowOff>83820</xdr:rowOff>
    </xdr:from>
    <xdr:to>
      <xdr:col>8</xdr:col>
      <xdr:colOff>60960</xdr:colOff>
      <xdr:row>31</xdr:row>
      <xdr:rowOff>83820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73F7B43-C3BE-4717-8EB6-5D2403ECC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236220</xdr:colOff>
      <xdr:row>16</xdr:row>
      <xdr:rowOff>175260</xdr:rowOff>
    </xdr:from>
    <xdr:to>
      <xdr:col>7</xdr:col>
      <xdr:colOff>312420</xdr:colOff>
      <xdr:row>19</xdr:row>
      <xdr:rowOff>144780</xdr:rowOff>
    </xdr:to>
    <xdr:sp macro="" textlink="most">
      <xdr:nvSpPr>
        <xdr:cNvPr id="23" name="Text Box 1">
          <a:extLst>
            <a:ext uri="{FF2B5EF4-FFF2-40B4-BE49-F238E27FC236}">
              <a16:creationId xmlns:a16="http://schemas.microsoft.com/office/drawing/2014/main" id="{4F02B3BF-58D9-4B31-8676-7E2FC6DC28E2}"/>
            </a:ext>
          </a:extLst>
        </xdr:cNvPr>
        <xdr:cNvSpPr txBox="1">
          <a:spLocks noChangeArrowheads="1"/>
        </xdr:cNvSpPr>
      </xdr:nvSpPr>
      <xdr:spPr bwMode="auto">
        <a:xfrm>
          <a:off x="845820" y="3101340"/>
          <a:ext cx="3733800" cy="518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marL="0" indent="0" algn="ctr" rtl="0">
            <a:defRPr sz="1000"/>
          </a:pPr>
          <a:fld id="{0AF82E01-030D-42E1-B821-0C78842F8296}" type="TxLink">
            <a:rPr lang="en-US" sz="1400" b="1" i="0" u="none" strike="noStrike" baseline="0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 rtl="0">
              <a:defRPr sz="1000"/>
            </a:pPr>
            <a:t>The most common type of skin cancer is the Basal Cell Carinoma</a:t>
          </a:fld>
          <a:endParaRPr lang="en-GB" sz="1400" b="1" i="0" u="none" strike="noStrike" baseline="0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0</xdr:colOff>
      <xdr:row>18</xdr:row>
      <xdr:rowOff>144780</xdr:rowOff>
    </xdr:from>
    <xdr:to>
      <xdr:col>14</xdr:col>
      <xdr:colOff>38100</xdr:colOff>
      <xdr:row>29</xdr:row>
      <xdr:rowOff>45720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1F4DA88-3FAF-44AC-B541-395748E08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220980</xdr:colOff>
      <xdr:row>16</xdr:row>
      <xdr:rowOff>167640</xdr:rowOff>
    </xdr:from>
    <xdr:to>
      <xdr:col>14</xdr:col>
      <xdr:colOff>297180</xdr:colOff>
      <xdr:row>19</xdr:row>
      <xdr:rowOff>137160</xdr:rowOff>
    </xdr:to>
    <xdr:sp macro="" textlink="females">
      <xdr:nvSpPr>
        <xdr:cNvPr id="25" name="Text Box 1">
          <a:extLst>
            <a:ext uri="{FF2B5EF4-FFF2-40B4-BE49-F238E27FC236}">
              <a16:creationId xmlns:a16="http://schemas.microsoft.com/office/drawing/2014/main" id="{50B49EE5-10EC-4390-B5ED-D9485348032A}"/>
            </a:ext>
          </a:extLst>
        </xdr:cNvPr>
        <xdr:cNvSpPr txBox="1">
          <a:spLocks noChangeArrowheads="1"/>
        </xdr:cNvSpPr>
      </xdr:nvSpPr>
      <xdr:spPr bwMode="auto">
        <a:xfrm>
          <a:off x="5097780" y="3093720"/>
          <a:ext cx="3733800" cy="518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marL="0" indent="0" algn="ctr" rtl="0">
            <a:defRPr sz="1000"/>
          </a:pPr>
          <a:fld id="{0DD8EDAD-292E-494D-8C61-98656CF6250B}" type="TxLink">
            <a:rPr lang="en-US" sz="1400" b="1" i="0" u="none" strike="noStrike" baseline="0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 rtl="0">
              <a:defRPr sz="1000"/>
            </a:pPr>
            <a:t>Females have a slightly higher proportion of skin cancer</a:t>
          </a:fld>
          <a:endParaRPr lang="en-GB" sz="1400" b="1" i="0" u="none" strike="noStrike" baseline="0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403860</xdr:colOff>
      <xdr:row>17</xdr:row>
      <xdr:rowOff>0</xdr:rowOff>
    </xdr:from>
    <xdr:to>
      <xdr:col>21</xdr:col>
      <xdr:colOff>480060</xdr:colOff>
      <xdr:row>19</xdr:row>
      <xdr:rowOff>152400</xdr:rowOff>
    </xdr:to>
    <xdr:sp macro="" textlink="diam">
      <xdr:nvSpPr>
        <xdr:cNvPr id="26" name="Text Box 1">
          <a:extLst>
            <a:ext uri="{FF2B5EF4-FFF2-40B4-BE49-F238E27FC236}">
              <a16:creationId xmlns:a16="http://schemas.microsoft.com/office/drawing/2014/main" id="{A8BD6B7F-44CF-4B9C-A9E9-C8A41EF7D7C1}"/>
            </a:ext>
          </a:extLst>
        </xdr:cNvPr>
        <xdr:cNvSpPr txBox="1">
          <a:spLocks noChangeArrowheads="1"/>
        </xdr:cNvSpPr>
      </xdr:nvSpPr>
      <xdr:spPr bwMode="auto">
        <a:xfrm>
          <a:off x="9547860" y="3108960"/>
          <a:ext cx="3733800" cy="518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marL="0" indent="0" algn="ctr" rtl="0">
            <a:defRPr sz="1000"/>
          </a:pPr>
          <a:fld id="{6D9144D7-FECD-4492-8B32-0ADCA19AC1B6}" type="TxLink">
            <a:rPr lang="en-US" sz="1400" b="1" i="0" u="none" strike="noStrike" baseline="0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 rtl="0">
              <a:defRPr sz="1000"/>
            </a:pPr>
            <a:t>The diamater of skin cancer lessions is centered arounf 5 to 10ml</a:t>
          </a:fld>
          <a:endParaRPr lang="en-GB" sz="1400" b="1" i="0" u="none" strike="noStrike" baseline="0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205740</xdr:colOff>
      <xdr:row>19</xdr:row>
      <xdr:rowOff>129540</xdr:rowOff>
    </xdr:from>
    <xdr:to>
      <xdr:col>22</xdr:col>
      <xdr:colOff>45720</xdr:colOff>
      <xdr:row>27</xdr:row>
      <xdr:rowOff>152400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35F4032A-B9DB-47A6-986C-4205D5E8A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106680</xdr:colOff>
      <xdr:row>2</xdr:row>
      <xdr:rowOff>144780</xdr:rowOff>
    </xdr:from>
    <xdr:to>
      <xdr:col>13</xdr:col>
      <xdr:colOff>76200</xdr:colOff>
      <xdr:row>4</xdr:row>
      <xdr:rowOff>15240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100ADF11-EC4D-4FA8-A01E-043A642C1AD2}"/>
            </a:ext>
          </a:extLst>
        </xdr:cNvPr>
        <xdr:cNvSpPr txBox="1">
          <a:spLocks noChangeArrowheads="1"/>
        </xdr:cNvSpPr>
      </xdr:nvSpPr>
      <xdr:spPr bwMode="auto">
        <a:xfrm>
          <a:off x="716280" y="510540"/>
          <a:ext cx="7284720" cy="2362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Trebuchet MS" panose="020B0603020202020204" pitchFamily="34" charset="0"/>
            </a:rPr>
            <a:t>A </a:t>
          </a:r>
          <a:r>
            <a:rPr lang="en-GB" sz="1200" b="1" i="0" u="none" strike="noStrike" baseline="0">
              <a:solidFill>
                <a:sysClr val="windowText" lastClr="000000"/>
              </a:solidFill>
              <a:latin typeface="Trebuchet MS" panose="020B0603020202020204" pitchFamily="34" charset="0"/>
            </a:rPr>
            <a:t>summary of patients Demographic, Enviromental factors and Lession characterictis of skin cancer</a:t>
          </a:r>
        </a:p>
        <a:p>
          <a:pPr algn="l" rtl="0">
            <a:defRPr sz="1000"/>
          </a:pPr>
          <a:endParaRPr lang="en-GB" sz="2800" b="1" i="0" u="none" strike="noStrike" baseline="0">
            <a:solidFill>
              <a:srgbClr val="000000"/>
            </a:solidFill>
            <a:latin typeface="Trebuchet MS" panose="020B0603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0F1B-E515-41E1-910E-B59835F8DE40}">
  <dimension ref="A1"/>
  <sheetViews>
    <sheetView showGridLines="0" tabSelected="1" zoomScaleNormal="100" workbookViewId="0">
      <selection sqref="A1:XFD1048576"/>
    </sheetView>
  </sheetViews>
  <sheetFormatPr defaultRowHeight="14.4" x14ac:dyDescent="0.3"/>
  <cols>
    <col min="1" max="16384" width="8.88671875" style="3"/>
  </cols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C800-9106-44CA-AFE0-C6C68E0B1D44}">
  <dimension ref="A1:P43"/>
  <sheetViews>
    <sheetView topLeftCell="A11" workbookViewId="0">
      <selection activeCell="L15" sqref="L15"/>
    </sheetView>
  </sheetViews>
  <sheetFormatPr defaultRowHeight="14.4" x14ac:dyDescent="0.3"/>
  <cols>
    <col min="1" max="1" width="41.88671875" customWidth="1"/>
    <col min="12" max="12" width="46.6640625" bestFit="1" customWidth="1"/>
  </cols>
  <sheetData>
    <row r="1" spans="1:16" x14ac:dyDescent="0.3">
      <c r="O1" t="s">
        <v>50</v>
      </c>
      <c r="P1" t="s">
        <v>36</v>
      </c>
    </row>
    <row r="2" spans="1:16" x14ac:dyDescent="0.3">
      <c r="A2" t="s">
        <v>16</v>
      </c>
      <c r="B2">
        <v>62</v>
      </c>
      <c r="D2" t="s">
        <v>0</v>
      </c>
      <c r="E2" t="s">
        <v>1</v>
      </c>
      <c r="H2" t="s">
        <v>19</v>
      </c>
      <c r="I2" t="s">
        <v>1</v>
      </c>
      <c r="L2" t="s">
        <v>29</v>
      </c>
      <c r="O2">
        <v>10</v>
      </c>
      <c r="P2">
        <v>35</v>
      </c>
    </row>
    <row r="3" spans="1:16" x14ac:dyDescent="0.3">
      <c r="A3" t="s">
        <v>15</v>
      </c>
      <c r="B3">
        <v>138</v>
      </c>
      <c r="D3" t="s">
        <v>2</v>
      </c>
      <c r="E3">
        <v>86</v>
      </c>
      <c r="H3" t="s">
        <v>20</v>
      </c>
      <c r="I3">
        <v>115</v>
      </c>
      <c r="L3" t="s">
        <v>30</v>
      </c>
      <c r="O3">
        <v>7</v>
      </c>
      <c r="P3">
        <v>25</v>
      </c>
    </row>
    <row r="4" spans="1:16" x14ac:dyDescent="0.3">
      <c r="A4" t="s">
        <v>14</v>
      </c>
      <c r="B4">
        <v>223</v>
      </c>
      <c r="D4" t="s">
        <v>3</v>
      </c>
      <c r="E4">
        <v>83</v>
      </c>
      <c r="H4" t="s">
        <v>21</v>
      </c>
      <c r="I4">
        <v>109</v>
      </c>
      <c r="L4" t="s">
        <v>31</v>
      </c>
      <c r="O4">
        <v>9</v>
      </c>
      <c r="P4">
        <v>20</v>
      </c>
    </row>
    <row r="5" spans="1:16" x14ac:dyDescent="0.3">
      <c r="A5" t="s">
        <v>18</v>
      </c>
      <c r="B5">
        <v>273</v>
      </c>
      <c r="D5" t="s">
        <v>4</v>
      </c>
      <c r="E5">
        <v>22</v>
      </c>
      <c r="L5" t="s">
        <v>32</v>
      </c>
      <c r="O5">
        <v>5</v>
      </c>
      <c r="P5">
        <v>20</v>
      </c>
    </row>
    <row r="6" spans="1:16" x14ac:dyDescent="0.3">
      <c r="A6" t="s">
        <v>17</v>
      </c>
      <c r="B6">
        <v>306</v>
      </c>
      <c r="D6" t="s">
        <v>5</v>
      </c>
      <c r="E6">
        <v>16</v>
      </c>
      <c r="L6" t="s">
        <v>33</v>
      </c>
      <c r="O6">
        <v>6</v>
      </c>
      <c r="P6">
        <v>17</v>
      </c>
    </row>
    <row r="7" spans="1:16" x14ac:dyDescent="0.3">
      <c r="D7" t="s">
        <v>6</v>
      </c>
      <c r="E7">
        <v>6</v>
      </c>
      <c r="L7" t="s">
        <v>34</v>
      </c>
      <c r="O7">
        <v>11</v>
      </c>
      <c r="P7">
        <v>14</v>
      </c>
    </row>
    <row r="8" spans="1:16" x14ac:dyDescent="0.3">
      <c r="A8" t="str">
        <f>"The Enviromental Factor with the Highest Count of Skin Cancer is "&amp;INDEX(A2:A6,MATCH(MAX(B2:B6),B2:B6,0))&amp;" at "&amp;TEXT(MAX(B2:B6),"0")&amp; " Cases "</f>
        <v xml:space="preserve">The Enviromental Factor with the Highest Count of Skin Cancer is Piped water  at 306 Cases </v>
      </c>
      <c r="D8" t="s">
        <v>7</v>
      </c>
      <c r="E8">
        <v>4</v>
      </c>
      <c r="O8">
        <v>15</v>
      </c>
      <c r="P8">
        <v>12</v>
      </c>
    </row>
    <row r="9" spans="1:16" x14ac:dyDescent="0.3">
      <c r="D9" t="s">
        <v>8</v>
      </c>
      <c r="E9">
        <v>2</v>
      </c>
      <c r="O9">
        <v>8</v>
      </c>
      <c r="P9">
        <v>11</v>
      </c>
    </row>
    <row r="10" spans="1:16" x14ac:dyDescent="0.3">
      <c r="A10">
        <v>1088</v>
      </c>
      <c r="D10" t="s">
        <v>9</v>
      </c>
      <c r="E10">
        <v>1</v>
      </c>
      <c r="O10">
        <v>13</v>
      </c>
      <c r="P10">
        <v>11</v>
      </c>
    </row>
    <row r="11" spans="1:16" x14ac:dyDescent="0.3">
      <c r="D11" t="s">
        <v>10</v>
      </c>
      <c r="E11">
        <v>1</v>
      </c>
      <c r="O11">
        <v>4</v>
      </c>
      <c r="P11">
        <v>9</v>
      </c>
    </row>
    <row r="12" spans="1:16" x14ac:dyDescent="0.3">
      <c r="D12" t="s">
        <v>11</v>
      </c>
      <c r="E12">
        <v>1</v>
      </c>
      <c r="O12">
        <v>17</v>
      </c>
      <c r="P12">
        <v>6</v>
      </c>
    </row>
    <row r="13" spans="1:16" x14ac:dyDescent="0.3">
      <c r="D13" t="s">
        <v>12</v>
      </c>
      <c r="E13">
        <v>1</v>
      </c>
      <c r="O13">
        <v>20</v>
      </c>
      <c r="P13">
        <v>6</v>
      </c>
    </row>
    <row r="14" spans="1:16" x14ac:dyDescent="0.3">
      <c r="D14" t="s">
        <v>13</v>
      </c>
      <c r="E14">
        <v>1</v>
      </c>
      <c r="H14" t="s">
        <v>51</v>
      </c>
      <c r="I14">
        <v>163</v>
      </c>
      <c r="O14">
        <v>12</v>
      </c>
      <c r="P14">
        <v>6</v>
      </c>
    </row>
    <row r="15" spans="1:16" x14ac:dyDescent="0.3">
      <c r="H15" t="s">
        <v>52</v>
      </c>
      <c r="I15">
        <v>135</v>
      </c>
      <c r="O15">
        <v>14</v>
      </c>
      <c r="P15">
        <v>5</v>
      </c>
    </row>
    <row r="16" spans="1:16" x14ac:dyDescent="0.3">
      <c r="H16" t="s">
        <v>53</v>
      </c>
      <c r="I16">
        <v>162</v>
      </c>
      <c r="O16">
        <v>3</v>
      </c>
      <c r="P16">
        <v>5</v>
      </c>
    </row>
    <row r="17" spans="1:16" x14ac:dyDescent="0.3">
      <c r="A17" t="s">
        <v>22</v>
      </c>
      <c r="B17" t="s">
        <v>1</v>
      </c>
      <c r="D17" t="s">
        <v>35</v>
      </c>
      <c r="E17" t="s">
        <v>36</v>
      </c>
      <c r="H17" t="s">
        <v>54</v>
      </c>
      <c r="I17">
        <v>35</v>
      </c>
      <c r="O17">
        <v>16</v>
      </c>
      <c r="P17">
        <v>4</v>
      </c>
    </row>
    <row r="18" spans="1:16" x14ac:dyDescent="0.3">
      <c r="A18" t="s">
        <v>23</v>
      </c>
      <c r="B18">
        <v>82</v>
      </c>
      <c r="D18" t="s">
        <v>49</v>
      </c>
      <c r="E18">
        <v>1</v>
      </c>
      <c r="H18" t="s">
        <v>55</v>
      </c>
      <c r="I18">
        <v>87</v>
      </c>
      <c r="O18">
        <v>18</v>
      </c>
      <c r="P18">
        <v>3</v>
      </c>
    </row>
    <row r="19" spans="1:16" x14ac:dyDescent="0.3">
      <c r="A19" t="s">
        <v>24</v>
      </c>
      <c r="B19">
        <v>77</v>
      </c>
      <c r="D19" t="s">
        <v>48</v>
      </c>
      <c r="E19">
        <v>1</v>
      </c>
      <c r="H19" t="s">
        <v>56</v>
      </c>
      <c r="I19">
        <v>158</v>
      </c>
      <c r="O19">
        <v>2</v>
      </c>
      <c r="P19">
        <v>2</v>
      </c>
    </row>
    <row r="20" spans="1:16" x14ac:dyDescent="0.3">
      <c r="A20" t="s">
        <v>25</v>
      </c>
      <c r="B20">
        <v>43</v>
      </c>
      <c r="D20" t="s">
        <v>47</v>
      </c>
      <c r="E20">
        <v>2</v>
      </c>
      <c r="H20" t="s">
        <v>57</v>
      </c>
      <c r="I20">
        <v>199</v>
      </c>
      <c r="O20">
        <v>25</v>
      </c>
      <c r="P20">
        <v>2</v>
      </c>
    </row>
    <row r="21" spans="1:16" x14ac:dyDescent="0.3">
      <c r="A21" t="s">
        <v>26</v>
      </c>
      <c r="B21">
        <v>17</v>
      </c>
      <c r="D21" t="s">
        <v>46</v>
      </c>
      <c r="E21">
        <v>8</v>
      </c>
      <c r="O21">
        <v>30</v>
      </c>
      <c r="P21">
        <v>2</v>
      </c>
    </row>
    <row r="22" spans="1:16" x14ac:dyDescent="0.3">
      <c r="A22" t="s">
        <v>27</v>
      </c>
      <c r="B22">
        <v>4</v>
      </c>
      <c r="D22" t="s">
        <v>45</v>
      </c>
      <c r="E22">
        <v>9</v>
      </c>
      <c r="O22">
        <v>1</v>
      </c>
      <c r="P22">
        <v>1</v>
      </c>
    </row>
    <row r="23" spans="1:16" x14ac:dyDescent="0.3">
      <c r="A23" t="s">
        <v>28</v>
      </c>
      <c r="B23">
        <v>1</v>
      </c>
      <c r="D23" t="s">
        <v>43</v>
      </c>
      <c r="E23">
        <v>9</v>
      </c>
      <c r="O23">
        <v>0</v>
      </c>
      <c r="P23">
        <v>1</v>
      </c>
    </row>
    <row r="24" spans="1:16" x14ac:dyDescent="0.3">
      <c r="D24" t="s">
        <v>44</v>
      </c>
      <c r="E24">
        <v>9</v>
      </c>
      <c r="O24">
        <v>29</v>
      </c>
      <c r="P24">
        <v>1</v>
      </c>
    </row>
    <row r="25" spans="1:16" x14ac:dyDescent="0.3">
      <c r="A25" t="str">
        <f>"The Age Group with the Highest Count of Skin Cancer is " &amp;INDEX(A18:A23,MATCH(MAX(B18:B23),B18:B23,0))&amp; " at " &amp; TEXT(MAX(B18:B23),"0") &amp; " cases "</f>
        <v xml:space="preserve">The Age Group with the Highest Count of Skin Cancer is 60 - 74 at 82 cases </v>
      </c>
      <c r="D25" t="s">
        <v>41</v>
      </c>
      <c r="E25">
        <v>20</v>
      </c>
      <c r="H25" t="s">
        <v>58</v>
      </c>
      <c r="I25" t="s">
        <v>59</v>
      </c>
      <c r="L25" t="s">
        <v>66</v>
      </c>
      <c r="O25">
        <v>31</v>
      </c>
      <c r="P25">
        <v>1</v>
      </c>
    </row>
    <row r="26" spans="1:16" x14ac:dyDescent="0.3">
      <c r="D26" t="s">
        <v>42</v>
      </c>
      <c r="E26">
        <v>20</v>
      </c>
      <c r="H26" t="s">
        <v>60</v>
      </c>
      <c r="I26">
        <v>128</v>
      </c>
      <c r="L26" s="1"/>
      <c r="O26">
        <v>23</v>
      </c>
      <c r="P26">
        <v>1</v>
      </c>
    </row>
    <row r="27" spans="1:16" x14ac:dyDescent="0.3">
      <c r="D27" t="s">
        <v>40</v>
      </c>
      <c r="E27">
        <v>21</v>
      </c>
      <c r="H27" t="s">
        <v>61</v>
      </c>
      <c r="I27">
        <v>54</v>
      </c>
      <c r="L27" s="2" t="s">
        <v>67</v>
      </c>
      <c r="O27">
        <v>22</v>
      </c>
      <c r="P27">
        <v>1</v>
      </c>
    </row>
    <row r="28" spans="1:16" x14ac:dyDescent="0.3">
      <c r="D28" t="s">
        <v>39</v>
      </c>
      <c r="E28">
        <v>33</v>
      </c>
      <c r="H28" t="s">
        <v>62</v>
      </c>
      <c r="I28">
        <v>23</v>
      </c>
      <c r="L28" s="1" t="s">
        <v>68</v>
      </c>
      <c r="O28">
        <v>35</v>
      </c>
      <c r="P28">
        <v>1</v>
      </c>
    </row>
    <row r="29" spans="1:16" x14ac:dyDescent="0.3">
      <c r="A29" t="str">
        <f>"The body region with the highest count of skin cancer is the "  &amp;INDEX(D18:D30,MATCH(MAX(E18:E30),E18:E30,0))&amp; " at " &amp;TEXT(MAX(E18:E30),"0") &amp;" Counts "</f>
        <v xml:space="preserve">The body region with the highest count of skin cancer is the FACE at 57 Counts </v>
      </c>
      <c r="D29" t="s">
        <v>38</v>
      </c>
      <c r="E29">
        <v>34</v>
      </c>
      <c r="H29" t="s">
        <v>63</v>
      </c>
      <c r="I29">
        <v>7</v>
      </c>
      <c r="L29" s="1"/>
      <c r="O29">
        <v>19</v>
      </c>
      <c r="P29">
        <v>1</v>
      </c>
    </row>
    <row r="30" spans="1:16" x14ac:dyDescent="0.3">
      <c r="D30" t="s">
        <v>37</v>
      </c>
      <c r="E30">
        <v>57</v>
      </c>
      <c r="H30" t="s">
        <v>64</v>
      </c>
      <c r="I30">
        <v>6</v>
      </c>
      <c r="L30" s="2" t="s">
        <v>69</v>
      </c>
      <c r="O30">
        <v>40</v>
      </c>
      <c r="P30">
        <v>1</v>
      </c>
    </row>
    <row r="31" spans="1:16" x14ac:dyDescent="0.3">
      <c r="H31" t="s">
        <v>65</v>
      </c>
      <c r="I31">
        <v>6</v>
      </c>
      <c r="L31" s="1" t="s">
        <v>70</v>
      </c>
    </row>
    <row r="32" spans="1:16" x14ac:dyDescent="0.3">
      <c r="L32" s="1"/>
    </row>
    <row r="33" spans="1:12" x14ac:dyDescent="0.3">
      <c r="A33" t="str">
        <f>"The most common type of skin cancer is the Basal Cell Carinoma"</f>
        <v>The most common type of skin cancer is the Basal Cell Carinoma</v>
      </c>
      <c r="L33" s="2" t="s">
        <v>71</v>
      </c>
    </row>
    <row r="34" spans="1:12" x14ac:dyDescent="0.3">
      <c r="L34" s="1" t="s">
        <v>72</v>
      </c>
    </row>
    <row r="35" spans="1:12" x14ac:dyDescent="0.3">
      <c r="L35" s="1"/>
    </row>
    <row r="36" spans="1:12" x14ac:dyDescent="0.3">
      <c r="A36" t="str">
        <f>"Females have a slightly higher proportion of skin cancer"</f>
        <v>Females have a slightly higher proportion of skin cancer</v>
      </c>
      <c r="L36" s="2" t="s">
        <v>73</v>
      </c>
    </row>
    <row r="37" spans="1:12" x14ac:dyDescent="0.3">
      <c r="L37" s="1" t="s">
        <v>74</v>
      </c>
    </row>
    <row r="38" spans="1:12" x14ac:dyDescent="0.3">
      <c r="L38" s="1"/>
    </row>
    <row r="39" spans="1:12" x14ac:dyDescent="0.3">
      <c r="A39" t="str">
        <f>"The diamater of skin cancer lessions is centered arounf 5 to 10ml"</f>
        <v>The diamater of skin cancer lessions is centered arounf 5 to 10ml</v>
      </c>
      <c r="L39" s="2" t="s">
        <v>75</v>
      </c>
    </row>
    <row r="40" spans="1:12" x14ac:dyDescent="0.3">
      <c r="L40" s="1" t="s">
        <v>76</v>
      </c>
    </row>
    <row r="41" spans="1:12" x14ac:dyDescent="0.3">
      <c r="L41" s="1"/>
    </row>
    <row r="42" spans="1:12" x14ac:dyDescent="0.3">
      <c r="L42" s="2" t="s">
        <v>77</v>
      </c>
    </row>
    <row r="43" spans="1:12" x14ac:dyDescent="0.3">
      <c r="L43" s="1" t="s">
        <v>78</v>
      </c>
    </row>
  </sheetData>
  <sortState xmlns:xlrd2="http://schemas.microsoft.com/office/spreadsheetml/2017/richdata2" ref="D18:E30">
    <sortCondition ref="E18:E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Dashboard</vt:lpstr>
      <vt:lpstr>Anamoly detection </vt:lpstr>
      <vt:lpstr>agegroup</vt:lpstr>
      <vt:lpstr>count</vt:lpstr>
      <vt:lpstr>diam</vt:lpstr>
      <vt:lpstr>females</vt:lpstr>
      <vt:lpstr>most</vt:lpstr>
      <vt:lpstr>region</vt:lpstr>
      <vt:lpstr>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Quintal</dc:creator>
  <cp:lastModifiedBy>Charles Quintal</cp:lastModifiedBy>
  <cp:lastPrinted>2026-05-08T15:26:58Z</cp:lastPrinted>
  <dcterms:created xsi:type="dcterms:W3CDTF">2026-05-08T12:20:14Z</dcterms:created>
  <dcterms:modified xsi:type="dcterms:W3CDTF">2026-05-08T15:29:16Z</dcterms:modified>
</cp:coreProperties>
</file>